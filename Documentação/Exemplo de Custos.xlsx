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DTG-2025\Desktop\TRABALHOS\"/>
    </mc:Choice>
  </mc:AlternateContent>
  <xr:revisionPtr revIDLastSave="0" documentId="13_ncr:1_{648231A9-9C86-45AE-95EA-4418A5830308}" xr6:coauthVersionLast="36" xr6:coauthVersionMax="47" xr10:uidLastSave="{00000000-0000-0000-0000-000000000000}"/>
  <bookViews>
    <workbookView xWindow="0" yWindow="0" windowWidth="23040" windowHeight="8940" activeTab="1" xr2:uid="{00000000-000D-0000-FFFF-FFFF00000000}"/>
  </bookViews>
  <sheets>
    <sheet name="Custos Projeto Completo" sheetId="1" r:id="rId1"/>
    <sheet name="Custos de Manutenção" sheetId="2" r:id="rId2"/>
  </sheets>
  <calcPr calcId="191029"/>
</workbook>
</file>

<file path=xl/calcChain.xml><?xml version="1.0" encoding="utf-8"?>
<calcChain xmlns="http://schemas.openxmlformats.org/spreadsheetml/2006/main">
  <c r="B19" i="1" l="1"/>
  <c r="B9" i="1"/>
  <c r="C33" i="1"/>
  <c r="B28" i="2"/>
  <c r="B29" i="2"/>
  <c r="B26" i="2"/>
  <c r="B27" i="2"/>
  <c r="B23" i="2"/>
  <c r="B16" i="2"/>
  <c r="B8" i="2"/>
  <c r="B27" i="1"/>
  <c r="F8" i="1" l="1"/>
  <c r="F5" i="1"/>
  <c r="F6" i="1"/>
  <c r="F7" i="1"/>
  <c r="F4" i="1"/>
</calcChain>
</file>

<file path=xl/sharedStrings.xml><?xml version="1.0" encoding="utf-8"?>
<sst xmlns="http://schemas.openxmlformats.org/spreadsheetml/2006/main" count="72" uniqueCount="48">
  <si>
    <t>1. Equipe do Projeto (6 meses)</t>
  </si>
  <si>
    <t>Cargo</t>
  </si>
  <si>
    <t>Quantidade</t>
  </si>
  <si>
    <t>Horas/Mês</t>
  </si>
  <si>
    <t>Gerente de Projetos</t>
  </si>
  <si>
    <t>Analista de Sistemas</t>
  </si>
  <si>
    <t>Desenvolvedor Back-end</t>
  </si>
  <si>
    <t>Desenvolvedor Front-end</t>
  </si>
  <si>
    <t>Analista de Qualidade (QA)</t>
  </si>
  <si>
    <t>2. Custos de Infraestrutura (6 meses)</t>
  </si>
  <si>
    <t>Item</t>
  </si>
  <si>
    <t>Meses</t>
  </si>
  <si>
    <t>Aluguel</t>
  </si>
  <si>
    <t>Energia elétrica</t>
  </si>
  <si>
    <t>Água</t>
  </si>
  <si>
    <t>Internet</t>
  </si>
  <si>
    <t>Serviços em nuvem</t>
  </si>
  <si>
    <t>Licenças de software</t>
  </si>
  <si>
    <t>3. Custos Indiretos</t>
  </si>
  <si>
    <t>Contabilidade</t>
  </si>
  <si>
    <t>Limpeza</t>
  </si>
  <si>
    <t>Manutenção predial</t>
  </si>
  <si>
    <t>Impostos e encargos</t>
  </si>
  <si>
    <t>CUSTOS DE DESENVOLVIMENTO</t>
  </si>
  <si>
    <t>Custo Mensal</t>
  </si>
  <si>
    <t>Custo Total</t>
  </si>
  <si>
    <t xml:space="preserve">Custo Total </t>
  </si>
  <si>
    <t xml:space="preserve">Valor Hora </t>
  </si>
  <si>
    <t>Valor</t>
  </si>
  <si>
    <t>Custos de Manutenção e Operação do Sistema (12 meses)</t>
  </si>
  <si>
    <t>1. Mão de Obra de Manutenção</t>
  </si>
  <si>
    <t xml:space="preserve">Custo Mensal </t>
  </si>
  <si>
    <t>Custo Anual</t>
  </si>
  <si>
    <t>2. Custos de Infraestrutura</t>
  </si>
  <si>
    <t>Manutenção de equipamentos</t>
  </si>
  <si>
    <t>Total meses</t>
  </si>
  <si>
    <t>3. Custos Indiretos - 6 meses</t>
  </si>
  <si>
    <t>VALOR TOTAL</t>
  </si>
  <si>
    <t>CUSTO TOTAL PROJETO 6 MESES</t>
  </si>
  <si>
    <t>CUSTO DESENVOLVIMENTO</t>
  </si>
  <si>
    <t>CUSTO INFRAESTRUTURA</t>
  </si>
  <si>
    <t>CUSTO INDIRETOS</t>
  </si>
  <si>
    <t xml:space="preserve">CUSTO TOTAL </t>
  </si>
  <si>
    <t>TOTAL</t>
  </si>
  <si>
    <t>CUSTO TOTAL DA MANUTENÇÃO</t>
  </si>
  <si>
    <t>CUSTO OPERAÇÃO</t>
  </si>
  <si>
    <t>CUSTO INFRA</t>
  </si>
  <si>
    <t>CUSTO INDIRETO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</si>
</sst>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8" borderId="0" xfId="0" applyFont="1" applyFill="1"/>
    <xf numFmtId="0" fontId="2" fillId="2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8" fontId="0" fillId="0" borderId="1" xfId="0" applyNumberFormat="1" applyBorder="1" applyAlignment="1">
      <alignment horizont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/>
    </xf>
    <xf numFmtId="0" fontId="0" fillId="0" borderId="1" xfId="0" applyFill="1" applyBorder="1"/>
    <xf numFmtId="0" fontId="0" fillId="0" borderId="0" xfId="0" applyAlignment="1"/>
    <xf numFmtId="0" fontId="0" fillId="10" borderId="4" xfId="0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showGridLines="0" topLeftCell="A3" workbookViewId="0">
      <selection activeCell="B9" sqref="B9:F9"/>
    </sheetView>
  </sheetViews>
  <sheetFormatPr defaultRowHeight="14.4" x14ac:dyDescent="0.3"/>
  <cols>
    <col min="1" max="1" width="24" style="1" bestFit="1" customWidth="1"/>
    <col min="2" max="2" width="15.77734375" style="1" bestFit="1" customWidth="1"/>
    <col min="3" max="3" width="12.5546875" style="1" bestFit="1" customWidth="1"/>
    <col min="4" max="4" width="12.88671875" style="1" bestFit="1" customWidth="1"/>
    <col min="5" max="6" width="14.109375" style="1" bestFit="1" customWidth="1"/>
    <col min="7" max="13" width="8.88671875" style="1"/>
  </cols>
  <sheetData>
    <row r="1" spans="1:6" x14ac:dyDescent="0.3">
      <c r="A1" s="8" t="s">
        <v>23</v>
      </c>
      <c r="B1" s="8"/>
      <c r="C1" s="8"/>
      <c r="D1" s="8"/>
      <c r="E1" s="8"/>
      <c r="F1" s="8"/>
    </row>
    <row r="2" spans="1:6" x14ac:dyDescent="0.3">
      <c r="A2" s="9" t="s">
        <v>0</v>
      </c>
      <c r="B2" s="10"/>
      <c r="C2" s="10"/>
      <c r="D2" s="10"/>
      <c r="E2" s="10"/>
      <c r="F2" s="11"/>
    </row>
    <row r="3" spans="1:6" x14ac:dyDescent="0.3">
      <c r="A3" s="4" t="s">
        <v>1</v>
      </c>
      <c r="B3" s="4" t="s">
        <v>2</v>
      </c>
      <c r="C3" s="4" t="s">
        <v>3</v>
      </c>
      <c r="D3" s="4" t="s">
        <v>35</v>
      </c>
      <c r="E3" s="4" t="s">
        <v>27</v>
      </c>
      <c r="F3" s="4" t="s">
        <v>26</v>
      </c>
    </row>
    <row r="4" spans="1:6" x14ac:dyDescent="0.3">
      <c r="A4" s="2" t="s">
        <v>4</v>
      </c>
      <c r="B4" s="2">
        <v>1</v>
      </c>
      <c r="C4" s="2">
        <v>160</v>
      </c>
      <c r="D4" s="2">
        <v>6</v>
      </c>
      <c r="E4" s="3">
        <v>70</v>
      </c>
      <c r="F4" s="3">
        <f>C4*D4*E4</f>
        <v>67200</v>
      </c>
    </row>
    <row r="5" spans="1:6" x14ac:dyDescent="0.3">
      <c r="A5" s="2" t="s">
        <v>5</v>
      </c>
      <c r="B5" s="2">
        <v>1</v>
      </c>
      <c r="C5" s="2">
        <v>200</v>
      </c>
      <c r="D5" s="2">
        <v>6</v>
      </c>
      <c r="E5" s="3">
        <v>60</v>
      </c>
      <c r="F5" s="3">
        <f t="shared" ref="F5:F8" si="0">C5*D5*E5</f>
        <v>72000</v>
      </c>
    </row>
    <row r="6" spans="1:6" x14ac:dyDescent="0.3">
      <c r="A6" s="2" t="s">
        <v>6</v>
      </c>
      <c r="B6" s="2">
        <v>2</v>
      </c>
      <c r="C6" s="2">
        <v>320</v>
      </c>
      <c r="D6" s="2">
        <v>6</v>
      </c>
      <c r="E6" s="3">
        <v>55</v>
      </c>
      <c r="F6" s="3">
        <f t="shared" si="0"/>
        <v>105600</v>
      </c>
    </row>
    <row r="7" spans="1:6" x14ac:dyDescent="0.3">
      <c r="A7" s="2" t="s">
        <v>7</v>
      </c>
      <c r="B7" s="2">
        <v>2</v>
      </c>
      <c r="C7" s="2">
        <v>320</v>
      </c>
      <c r="D7" s="2">
        <v>6</v>
      </c>
      <c r="E7" s="3">
        <v>30</v>
      </c>
      <c r="F7" s="3">
        <f t="shared" si="0"/>
        <v>57600</v>
      </c>
    </row>
    <row r="8" spans="1:6" x14ac:dyDescent="0.3">
      <c r="A8" s="2" t="s">
        <v>8</v>
      </c>
      <c r="B8" s="2">
        <v>1</v>
      </c>
      <c r="C8" s="2">
        <v>220</v>
      </c>
      <c r="D8" s="2">
        <v>6</v>
      </c>
      <c r="E8" s="3">
        <v>35</v>
      </c>
      <c r="F8" s="3">
        <f t="shared" si="0"/>
        <v>46200</v>
      </c>
    </row>
    <row r="9" spans="1:6" x14ac:dyDescent="0.3">
      <c r="A9" s="2" t="s">
        <v>37</v>
      </c>
      <c r="B9" s="32">
        <f>SUM(F4:F8)</f>
        <v>348600</v>
      </c>
      <c r="C9" s="34"/>
      <c r="D9" s="34"/>
      <c r="E9" s="34"/>
      <c r="F9" s="33"/>
    </row>
    <row r="11" spans="1:6" x14ac:dyDescent="0.3">
      <c r="A11" s="13" t="s">
        <v>9</v>
      </c>
      <c r="B11" s="13"/>
      <c r="C11" s="13"/>
      <c r="D11" s="13"/>
      <c r="E11" s="7"/>
    </row>
    <row r="12" spans="1:6" x14ac:dyDescent="0.3">
      <c r="A12" s="4" t="s">
        <v>10</v>
      </c>
      <c r="B12" s="4" t="s">
        <v>24</v>
      </c>
      <c r="C12" s="4" t="s">
        <v>11</v>
      </c>
      <c r="D12" s="4" t="s">
        <v>25</v>
      </c>
    </row>
    <row r="13" spans="1:6" x14ac:dyDescent="0.3">
      <c r="A13" s="2" t="s">
        <v>12</v>
      </c>
      <c r="B13" s="3">
        <v>3000</v>
      </c>
      <c r="C13" s="2">
        <v>6</v>
      </c>
      <c r="D13" s="3">
        <v>18000</v>
      </c>
    </row>
    <row r="14" spans="1:6" x14ac:dyDescent="0.3">
      <c r="A14" s="2" t="s">
        <v>13</v>
      </c>
      <c r="B14" s="3">
        <v>900</v>
      </c>
      <c r="C14" s="2">
        <v>6</v>
      </c>
      <c r="D14" s="3">
        <v>5400</v>
      </c>
    </row>
    <row r="15" spans="1:6" x14ac:dyDescent="0.3">
      <c r="A15" s="2" t="s">
        <v>14</v>
      </c>
      <c r="B15" s="3">
        <v>250</v>
      </c>
      <c r="C15" s="2">
        <v>6</v>
      </c>
      <c r="D15" s="3">
        <v>1500</v>
      </c>
    </row>
    <row r="16" spans="1:6" x14ac:dyDescent="0.3">
      <c r="A16" s="2" t="s">
        <v>15</v>
      </c>
      <c r="B16" s="3">
        <v>350</v>
      </c>
      <c r="C16" s="2">
        <v>6</v>
      </c>
      <c r="D16" s="3">
        <v>2100</v>
      </c>
    </row>
    <row r="17" spans="1:6" x14ac:dyDescent="0.3">
      <c r="A17" s="2" t="s">
        <v>16</v>
      </c>
      <c r="B17" s="3">
        <v>800</v>
      </c>
      <c r="C17" s="2">
        <v>6</v>
      </c>
      <c r="D17" s="3">
        <v>4800</v>
      </c>
    </row>
    <row r="18" spans="1:6" x14ac:dyDescent="0.3">
      <c r="A18" s="2" t="s">
        <v>17</v>
      </c>
      <c r="B18" s="3">
        <v>700</v>
      </c>
      <c r="C18" s="2">
        <v>6</v>
      </c>
      <c r="D18" s="3">
        <v>4200</v>
      </c>
      <c r="F18" s="31"/>
    </row>
    <row r="19" spans="1:6" x14ac:dyDescent="0.3">
      <c r="A19" s="2" t="s">
        <v>37</v>
      </c>
      <c r="B19" s="32">
        <f>SUM(D13:D18)</f>
        <v>36000</v>
      </c>
      <c r="C19" s="34"/>
      <c r="D19" s="33"/>
    </row>
    <row r="21" spans="1:6" x14ac:dyDescent="0.3">
      <c r="A21" s="12" t="s">
        <v>36</v>
      </c>
      <c r="B21" s="12"/>
    </row>
    <row r="22" spans="1:6" x14ac:dyDescent="0.3">
      <c r="A22" s="4" t="s">
        <v>10</v>
      </c>
      <c r="B22" s="4" t="s">
        <v>28</v>
      </c>
    </row>
    <row r="23" spans="1:6" x14ac:dyDescent="0.3">
      <c r="A23" s="18" t="s">
        <v>19</v>
      </c>
      <c r="B23" s="3">
        <v>1800</v>
      </c>
    </row>
    <row r="24" spans="1:6" x14ac:dyDescent="0.3">
      <c r="A24" s="18" t="s">
        <v>20</v>
      </c>
      <c r="B24" s="3">
        <v>1500</v>
      </c>
      <c r="F24" s="17"/>
    </row>
    <row r="25" spans="1:6" x14ac:dyDescent="0.3">
      <c r="A25" s="18" t="s">
        <v>21</v>
      </c>
      <c r="B25" s="3">
        <v>1200</v>
      </c>
    </row>
    <row r="26" spans="1:6" x14ac:dyDescent="0.3">
      <c r="A26" s="18" t="s">
        <v>22</v>
      </c>
      <c r="B26" s="3">
        <v>4800</v>
      </c>
    </row>
    <row r="27" spans="1:6" x14ac:dyDescent="0.3">
      <c r="A27" s="18" t="s">
        <v>37</v>
      </c>
      <c r="B27" s="25">
        <f>SUM(B23:B26)</f>
        <v>9300</v>
      </c>
    </row>
    <row r="29" spans="1:6" x14ac:dyDescent="0.3">
      <c r="A29" s="22" t="s">
        <v>38</v>
      </c>
      <c r="B29" s="23"/>
      <c r="C29" s="24"/>
    </row>
    <row r="30" spans="1:6" x14ac:dyDescent="0.3">
      <c r="A30" s="19" t="s">
        <v>39</v>
      </c>
      <c r="B30" s="20"/>
      <c r="C30" s="21">
        <v>348600</v>
      </c>
    </row>
    <row r="31" spans="1:6" x14ac:dyDescent="0.3">
      <c r="A31" s="19" t="s">
        <v>40</v>
      </c>
      <c r="B31" s="20"/>
      <c r="C31" s="21">
        <v>36000</v>
      </c>
    </row>
    <row r="32" spans="1:6" x14ac:dyDescent="0.3">
      <c r="A32" s="19" t="s">
        <v>41</v>
      </c>
      <c r="B32" s="20"/>
      <c r="C32" s="21">
        <v>9300</v>
      </c>
    </row>
    <row r="33" spans="1:3" x14ac:dyDescent="0.3">
      <c r="A33" s="19" t="s">
        <v>42</v>
      </c>
      <c r="B33" s="20"/>
      <c r="C33" s="21">
        <f>SUM(C30:C32)</f>
        <v>393900</v>
      </c>
    </row>
  </sheetData>
  <mergeCells count="11">
    <mergeCell ref="A30:B30"/>
    <mergeCell ref="A31:B31"/>
    <mergeCell ref="A32:B32"/>
    <mergeCell ref="A33:B33"/>
    <mergeCell ref="A1:F1"/>
    <mergeCell ref="A2:F2"/>
    <mergeCell ref="A21:B21"/>
    <mergeCell ref="A11:D11"/>
    <mergeCell ref="A29:C29"/>
    <mergeCell ref="B19:D19"/>
    <mergeCell ref="B9:F9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B270-1802-4457-8FAF-158E834D4990}">
  <dimension ref="A1:E29"/>
  <sheetViews>
    <sheetView showGridLines="0" tabSelected="1" workbookViewId="0">
      <selection activeCell="D14" sqref="D14"/>
    </sheetView>
  </sheetViews>
  <sheetFormatPr defaultRowHeight="14.4" x14ac:dyDescent="0.3"/>
  <cols>
    <col min="1" max="1" width="35.5546875" bestFit="1" customWidth="1"/>
    <col min="2" max="2" width="15.77734375" style="1" bestFit="1" customWidth="1"/>
    <col min="3" max="3" width="14.44140625" style="1" bestFit="1" customWidth="1"/>
    <col min="4" max="4" width="12.88671875" style="1" bestFit="1" customWidth="1"/>
  </cols>
  <sheetData>
    <row r="1" spans="1:4" x14ac:dyDescent="0.3">
      <c r="A1" s="14" t="s">
        <v>29</v>
      </c>
      <c r="B1" s="14"/>
      <c r="C1" s="14"/>
      <c r="D1" s="14"/>
    </row>
    <row r="2" spans="1:4" x14ac:dyDescent="0.3">
      <c r="A2" s="5" t="s">
        <v>30</v>
      </c>
      <c r="B2" s="2"/>
      <c r="C2" s="2"/>
      <c r="D2" s="2"/>
    </row>
    <row r="3" spans="1:4" x14ac:dyDescent="0.3">
      <c r="A3" s="5" t="s">
        <v>1</v>
      </c>
      <c r="B3" s="4" t="s">
        <v>3</v>
      </c>
      <c r="C3" s="4" t="s">
        <v>31</v>
      </c>
      <c r="D3" s="4" t="s">
        <v>32</v>
      </c>
    </row>
    <row r="4" spans="1:4" x14ac:dyDescent="0.3">
      <c r="A4" s="6" t="s">
        <v>6</v>
      </c>
      <c r="B4" s="2">
        <v>40</v>
      </c>
      <c r="C4" s="3">
        <v>2200</v>
      </c>
      <c r="D4" s="3">
        <v>26400</v>
      </c>
    </row>
    <row r="5" spans="1:4" x14ac:dyDescent="0.3">
      <c r="A5" s="6" t="s">
        <v>7</v>
      </c>
      <c r="B5" s="2">
        <v>20</v>
      </c>
      <c r="C5" s="3">
        <v>600</v>
      </c>
      <c r="D5" s="3">
        <v>7200</v>
      </c>
    </row>
    <row r="6" spans="1:4" x14ac:dyDescent="0.3">
      <c r="A6" s="6" t="s">
        <v>8</v>
      </c>
      <c r="B6" s="2">
        <v>20</v>
      </c>
      <c r="C6" s="3">
        <v>700</v>
      </c>
      <c r="D6" s="3">
        <v>8400</v>
      </c>
    </row>
    <row r="7" spans="1:4" x14ac:dyDescent="0.3">
      <c r="A7" s="6" t="s">
        <v>4</v>
      </c>
      <c r="B7" s="2">
        <v>10</v>
      </c>
      <c r="C7" s="3">
        <v>700</v>
      </c>
      <c r="D7" s="3">
        <v>8400</v>
      </c>
    </row>
    <row r="8" spans="1:4" x14ac:dyDescent="0.3">
      <c r="A8" s="26" t="s">
        <v>43</v>
      </c>
      <c r="B8" s="32">
        <f>SUM(D4:D7)</f>
        <v>50400</v>
      </c>
      <c r="C8" s="34"/>
      <c r="D8" s="33"/>
    </row>
    <row r="10" spans="1:4" x14ac:dyDescent="0.3">
      <c r="A10" s="15" t="s">
        <v>33</v>
      </c>
      <c r="B10" s="15"/>
      <c r="C10" s="15"/>
    </row>
    <row r="11" spans="1:4" x14ac:dyDescent="0.3">
      <c r="A11" s="5" t="s">
        <v>10</v>
      </c>
      <c r="B11" s="4" t="s">
        <v>24</v>
      </c>
      <c r="C11" s="4" t="s">
        <v>32</v>
      </c>
    </row>
    <row r="12" spans="1:4" x14ac:dyDescent="0.3">
      <c r="A12" s="6" t="s">
        <v>16</v>
      </c>
      <c r="B12" s="3">
        <v>500</v>
      </c>
      <c r="C12" s="3">
        <v>6000</v>
      </c>
    </row>
    <row r="13" spans="1:4" x14ac:dyDescent="0.3">
      <c r="A13" s="6" t="s">
        <v>15</v>
      </c>
      <c r="B13" s="3">
        <v>300</v>
      </c>
      <c r="C13" s="3">
        <v>3600</v>
      </c>
    </row>
    <row r="14" spans="1:4" x14ac:dyDescent="0.3">
      <c r="A14" s="6" t="s">
        <v>13</v>
      </c>
      <c r="B14" s="3">
        <v>400</v>
      </c>
      <c r="C14" s="3">
        <v>4800</v>
      </c>
    </row>
    <row r="15" spans="1:4" x14ac:dyDescent="0.3">
      <c r="A15" s="6" t="s">
        <v>17</v>
      </c>
      <c r="B15" s="3">
        <v>400</v>
      </c>
      <c r="C15" s="3">
        <v>4800</v>
      </c>
    </row>
    <row r="16" spans="1:4" x14ac:dyDescent="0.3">
      <c r="A16" s="26" t="s">
        <v>43</v>
      </c>
      <c r="B16" s="32">
        <f>SUM(C12:C15)</f>
        <v>19200</v>
      </c>
      <c r="C16" s="33"/>
    </row>
    <row r="18" spans="1:5" x14ac:dyDescent="0.3">
      <c r="A18" s="16" t="s">
        <v>18</v>
      </c>
      <c r="B18" s="16"/>
      <c r="C18" s="16"/>
    </row>
    <row r="19" spans="1:5" x14ac:dyDescent="0.3">
      <c r="A19" s="5" t="s">
        <v>10</v>
      </c>
      <c r="B19" s="4" t="s">
        <v>24</v>
      </c>
      <c r="C19" s="4" t="s">
        <v>32</v>
      </c>
    </row>
    <row r="20" spans="1:5" x14ac:dyDescent="0.3">
      <c r="A20" s="6" t="s">
        <v>19</v>
      </c>
      <c r="B20" s="3">
        <v>200</v>
      </c>
      <c r="C20" s="3">
        <v>2400</v>
      </c>
    </row>
    <row r="21" spans="1:5" x14ac:dyDescent="0.3">
      <c r="A21" s="6" t="s">
        <v>22</v>
      </c>
      <c r="B21" s="3">
        <v>500</v>
      </c>
      <c r="C21" s="3">
        <v>6000</v>
      </c>
    </row>
    <row r="22" spans="1:5" x14ac:dyDescent="0.3">
      <c r="A22" s="6" t="s">
        <v>34</v>
      </c>
      <c r="B22" s="3">
        <v>300</v>
      </c>
      <c r="C22" s="3">
        <v>3600</v>
      </c>
    </row>
    <row r="23" spans="1:5" x14ac:dyDescent="0.3">
      <c r="A23" s="26" t="s">
        <v>43</v>
      </c>
      <c r="B23" s="32">
        <f>SUM(C20:C22)</f>
        <v>12000</v>
      </c>
      <c r="C23" s="33"/>
    </row>
    <row r="25" spans="1:5" x14ac:dyDescent="0.3">
      <c r="A25" s="29" t="s">
        <v>44</v>
      </c>
      <c r="B25" s="28"/>
      <c r="C25" s="27"/>
    </row>
    <row r="26" spans="1:5" x14ac:dyDescent="0.3">
      <c r="A26" s="6" t="s">
        <v>45</v>
      </c>
      <c r="B26" s="25">
        <f>SUM(D4:D7)</f>
        <v>50400</v>
      </c>
      <c r="E26" s="30"/>
    </row>
    <row r="27" spans="1:5" x14ac:dyDescent="0.3">
      <c r="A27" s="6" t="s">
        <v>46</v>
      </c>
      <c r="B27" s="25">
        <f>SUM(C12:C15)</f>
        <v>19200</v>
      </c>
    </row>
    <row r="28" spans="1:5" x14ac:dyDescent="0.3">
      <c r="A28" s="6" t="s">
        <v>47</v>
      </c>
      <c r="B28" s="25">
        <f>SUM(C20:C22)</f>
        <v>12000</v>
      </c>
    </row>
    <row r="29" spans="1:5" x14ac:dyDescent="0.3">
      <c r="A29" s="6" t="s">
        <v>44</v>
      </c>
      <c r="B29" s="25">
        <f>SUM(B26:B28)</f>
        <v>81600</v>
      </c>
    </row>
  </sheetData>
  <mergeCells count="7">
    <mergeCell ref="A1:D1"/>
    <mergeCell ref="A10:C10"/>
    <mergeCell ref="A18:C18"/>
    <mergeCell ref="A25:B25"/>
    <mergeCell ref="B16:C16"/>
    <mergeCell ref="B23:C23"/>
    <mergeCell ref="B8: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 Projeto Completo</vt:lpstr>
      <vt:lpstr>Custos de Manutenção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DTG-2025</cp:lastModifiedBy>
  <dcterms:created xsi:type="dcterms:W3CDTF">2026-01-29T13:04:56Z</dcterms:created>
  <dcterms:modified xsi:type="dcterms:W3CDTF">2026-02-06T11:59:26Z</dcterms:modified>
</cp:coreProperties>
</file>