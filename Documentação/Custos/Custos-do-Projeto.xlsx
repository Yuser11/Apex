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Desktop\PROJETOS\Apex\Documentação\"/>
    </mc:Choice>
  </mc:AlternateContent>
  <xr:revisionPtr revIDLastSave="0" documentId="8_{211B51F0-59D0-4D6B-88E8-780D0605CE6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ustos Projeto Completo" sheetId="1" r:id="rId1"/>
    <sheet name="Custos de Manutenção" sheetId="2" r:id="rId2"/>
  </sheets>
  <calcPr calcId="191029"/>
</workbook>
</file>

<file path=xl/calcChain.xml><?xml version="1.0" encoding="utf-8"?>
<calcChain xmlns="http://schemas.openxmlformats.org/spreadsheetml/2006/main">
  <c r="F6" i="1" l="1"/>
  <c r="F4" i="1" l="1"/>
  <c r="F7" i="1"/>
  <c r="F8" i="1"/>
  <c r="F5" i="1"/>
  <c r="B9" i="1" s="1"/>
  <c r="C32" i="1" l="1"/>
  <c r="B18" i="1" l="1"/>
  <c r="B27" i="2"/>
  <c r="B25" i="2"/>
  <c r="B26" i="2"/>
  <c r="B22" i="2"/>
  <c r="B15" i="2"/>
  <c r="B8" i="2"/>
  <c r="B26" i="1"/>
  <c r="B28" i="2" l="1"/>
</calcChain>
</file>

<file path=xl/sharedStrings.xml><?xml version="1.0" encoding="utf-8"?>
<sst xmlns="http://schemas.openxmlformats.org/spreadsheetml/2006/main" count="70" uniqueCount="48">
  <si>
    <t>Cargo</t>
  </si>
  <si>
    <t>Quantidade</t>
  </si>
  <si>
    <t>Horas/Mês</t>
  </si>
  <si>
    <t>Gerente de Projetos</t>
  </si>
  <si>
    <t>Analista de Sistemas</t>
  </si>
  <si>
    <t>Desenvolvedor Back-end</t>
  </si>
  <si>
    <t>Desenvolvedor Front-end</t>
  </si>
  <si>
    <t>Analista de Qualidade (QA)</t>
  </si>
  <si>
    <t>Item</t>
  </si>
  <si>
    <t>Meses</t>
  </si>
  <si>
    <t>Aluguel</t>
  </si>
  <si>
    <t>Energia elétrica</t>
  </si>
  <si>
    <t>Água</t>
  </si>
  <si>
    <t>Internet</t>
  </si>
  <si>
    <t>Licenças de software</t>
  </si>
  <si>
    <t>Contabilidade</t>
  </si>
  <si>
    <t>Limpeza</t>
  </si>
  <si>
    <t>Manutenção predial</t>
  </si>
  <si>
    <t>Impostos e encargos</t>
  </si>
  <si>
    <t>CUSTOS DE DESENVOLVIMENTO</t>
  </si>
  <si>
    <t>Custo Mensal</t>
  </si>
  <si>
    <t>Custo Total</t>
  </si>
  <si>
    <t xml:space="preserve">Custo Total </t>
  </si>
  <si>
    <t xml:space="preserve">Valor Hora </t>
  </si>
  <si>
    <t>Valor</t>
  </si>
  <si>
    <t>1. Mão de Obra de Manutenção</t>
  </si>
  <si>
    <t xml:space="preserve">Custo Mensal </t>
  </si>
  <si>
    <t>Manutenção de equipamentos</t>
  </si>
  <si>
    <t>Total meses</t>
  </si>
  <si>
    <t>VALOR TOTAL</t>
  </si>
  <si>
    <t>CUSTO DESENVOLVIMENTO</t>
  </si>
  <si>
    <t>CUSTO INFRAESTRUTURA</t>
  </si>
  <si>
    <t>CUSTO INDIRETOS</t>
  </si>
  <si>
    <t xml:space="preserve">CUSTO TOTAL </t>
  </si>
  <si>
    <t>TOTAL</t>
  </si>
  <si>
    <t>CUSTO TOTAL DA MANUTENÇÃO</t>
  </si>
  <si>
    <t>CUSTO OPERAÇÃO</t>
  </si>
  <si>
    <t>CUSTO INFRA</t>
  </si>
  <si>
    <t>CUSTO INDIRETO</t>
  </si>
  <si>
    <t>EQUIPE APEX (6 MESES)</t>
  </si>
  <si>
    <t>CUSTOS DE INFRAESTRUTURA APEX (6 MESES)</t>
  </si>
  <si>
    <t>CUSTOS INDIRETOS APEX  (6 MESES)</t>
  </si>
  <si>
    <t>CUSTO TOTAL PROJETO APEX (6 MESES)</t>
  </si>
  <si>
    <t>CUSTOS DE MANUTENÇÃO APEX (6 MESES)</t>
  </si>
  <si>
    <t>CUSTOS INDIRETOS APEX</t>
  </si>
  <si>
    <t>CUSTOS INFRAESTRUTURA APEX</t>
  </si>
  <si>
    <t>Custo Semestral</t>
  </si>
  <si>
    <t>Designer UX/UI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</si>
</sst>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B8DD"/>
        <bgColor indexed="64"/>
      </patternFill>
    </fill>
    <fill>
      <patternFill patternType="solid">
        <fgColor rgb="FF91A3DD"/>
        <bgColor indexed="64"/>
      </patternFill>
    </fill>
    <fill>
      <patternFill patternType="solid">
        <fgColor rgb="FF9CB8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0" fillId="0" borderId="0" xfId="0" applyAlignment="1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9CB8D6"/>
      <color rgb="FF91A3DD"/>
      <color rgb="FF93B8DD"/>
      <color rgb="FFCCECFF"/>
      <color rgb="FFCCC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showGridLines="0" tabSelected="1" workbookViewId="0">
      <selection activeCell="C29" sqref="C29:G29"/>
    </sheetView>
  </sheetViews>
  <sheetFormatPr defaultRowHeight="14.4" x14ac:dyDescent="0.3"/>
  <cols>
    <col min="1" max="1" width="24" style="1" bestFit="1" customWidth="1"/>
    <col min="2" max="2" width="15.77734375" style="1" bestFit="1" customWidth="1"/>
    <col min="3" max="3" width="12.5546875" style="1" bestFit="1" customWidth="1"/>
    <col min="4" max="4" width="14" style="1" bestFit="1" customWidth="1"/>
    <col min="5" max="6" width="14.109375" style="1" bestFit="1" customWidth="1"/>
    <col min="7" max="13" width="8.88671875" style="1"/>
  </cols>
  <sheetData>
    <row r="1" spans="1:6" x14ac:dyDescent="0.3">
      <c r="A1" s="19" t="s">
        <v>19</v>
      </c>
      <c r="B1" s="19"/>
      <c r="C1" s="19"/>
      <c r="D1" s="19"/>
      <c r="E1" s="19"/>
      <c r="F1" s="19"/>
    </row>
    <row r="2" spans="1:6" x14ac:dyDescent="0.3">
      <c r="A2" s="20" t="s">
        <v>39</v>
      </c>
      <c r="B2" s="21"/>
      <c r="C2" s="21"/>
      <c r="D2" s="21"/>
      <c r="E2" s="21"/>
      <c r="F2" s="22"/>
    </row>
    <row r="3" spans="1:6" x14ac:dyDescent="0.3">
      <c r="A3" s="4" t="s">
        <v>0</v>
      </c>
      <c r="B3" s="4" t="s">
        <v>1</v>
      </c>
      <c r="C3" s="4" t="s">
        <v>2</v>
      </c>
      <c r="D3" s="4" t="s">
        <v>28</v>
      </c>
      <c r="E3" s="4" t="s">
        <v>23</v>
      </c>
      <c r="F3" s="4" t="s">
        <v>22</v>
      </c>
    </row>
    <row r="4" spans="1:6" x14ac:dyDescent="0.3">
      <c r="A4" s="2" t="s">
        <v>3</v>
      </c>
      <c r="B4" s="2">
        <v>1</v>
      </c>
      <c r="C4" s="2">
        <v>160</v>
      </c>
      <c r="D4" s="2">
        <v>6</v>
      </c>
      <c r="E4" s="3">
        <v>70</v>
      </c>
      <c r="F4" s="3">
        <f>C4*D4*E4</f>
        <v>67200</v>
      </c>
    </row>
    <row r="5" spans="1:6" x14ac:dyDescent="0.3">
      <c r="A5" s="2" t="s">
        <v>4</v>
      </c>
      <c r="B5" s="2">
        <v>1</v>
      </c>
      <c r="C5" s="2">
        <v>200</v>
      </c>
      <c r="D5" s="2">
        <v>6</v>
      </c>
      <c r="E5" s="3">
        <v>50</v>
      </c>
      <c r="F5" s="3">
        <f t="shared" ref="F5:F8" si="0">C5*D5*E5</f>
        <v>60000</v>
      </c>
    </row>
    <row r="6" spans="1:6" x14ac:dyDescent="0.3">
      <c r="A6" s="2" t="s">
        <v>47</v>
      </c>
      <c r="B6" s="2">
        <v>1</v>
      </c>
      <c r="C6" s="2">
        <v>200</v>
      </c>
      <c r="D6" s="2">
        <v>6</v>
      </c>
      <c r="E6" s="3">
        <v>50</v>
      </c>
      <c r="F6" s="3">
        <f t="shared" ref="F6" si="1">C6*D6*E6</f>
        <v>60000</v>
      </c>
    </row>
    <row r="7" spans="1:6" x14ac:dyDescent="0.3">
      <c r="A7" s="2" t="s">
        <v>5</v>
      </c>
      <c r="B7" s="2">
        <v>1</v>
      </c>
      <c r="C7" s="2">
        <v>320</v>
      </c>
      <c r="D7" s="2">
        <v>6</v>
      </c>
      <c r="E7" s="3">
        <v>55</v>
      </c>
      <c r="F7" s="3">
        <f t="shared" si="0"/>
        <v>105600</v>
      </c>
    </row>
    <row r="8" spans="1:6" x14ac:dyDescent="0.3">
      <c r="A8" s="2" t="s">
        <v>6</v>
      </c>
      <c r="B8" s="2">
        <v>1</v>
      </c>
      <c r="C8" s="2">
        <v>320</v>
      </c>
      <c r="D8" s="2">
        <v>6</v>
      </c>
      <c r="E8" s="3">
        <v>45</v>
      </c>
      <c r="F8" s="3">
        <f t="shared" si="0"/>
        <v>86400</v>
      </c>
    </row>
    <row r="9" spans="1:6" x14ac:dyDescent="0.3">
      <c r="A9" s="2" t="s">
        <v>29</v>
      </c>
      <c r="B9" s="28">
        <f>SUM(F4:F8)</f>
        <v>379200</v>
      </c>
      <c r="C9" s="29"/>
      <c r="D9" s="29"/>
      <c r="E9" s="29"/>
      <c r="F9" s="30"/>
    </row>
    <row r="11" spans="1:6" x14ac:dyDescent="0.3">
      <c r="A11" s="24" t="s">
        <v>40</v>
      </c>
      <c r="B11" s="24"/>
      <c r="C11" s="24"/>
      <c r="D11" s="24"/>
      <c r="E11" s="7"/>
    </row>
    <row r="12" spans="1:6" x14ac:dyDescent="0.3">
      <c r="A12" s="4" t="s">
        <v>8</v>
      </c>
      <c r="B12" s="4" t="s">
        <v>20</v>
      </c>
      <c r="C12" s="4" t="s">
        <v>9</v>
      </c>
      <c r="D12" s="4" t="s">
        <v>21</v>
      </c>
    </row>
    <row r="13" spans="1:6" x14ac:dyDescent="0.3">
      <c r="A13" s="2" t="s">
        <v>10</v>
      </c>
      <c r="B13" s="3">
        <v>2000</v>
      </c>
      <c r="C13" s="2">
        <v>6</v>
      </c>
      <c r="D13" s="3">
        <v>18000</v>
      </c>
    </row>
    <row r="14" spans="1:6" x14ac:dyDescent="0.3">
      <c r="A14" s="2" t="s">
        <v>11</v>
      </c>
      <c r="B14" s="3">
        <v>1000</v>
      </c>
      <c r="C14" s="2">
        <v>6</v>
      </c>
      <c r="D14" s="3">
        <v>6000</v>
      </c>
    </row>
    <row r="15" spans="1:6" x14ac:dyDescent="0.3">
      <c r="A15" s="2" t="s">
        <v>12</v>
      </c>
      <c r="B15" s="3">
        <v>500</v>
      </c>
      <c r="C15" s="2">
        <v>6</v>
      </c>
      <c r="D15" s="3">
        <v>3000</v>
      </c>
    </row>
    <row r="16" spans="1:6" x14ac:dyDescent="0.3">
      <c r="A16" s="2" t="s">
        <v>13</v>
      </c>
      <c r="B16" s="3">
        <v>500</v>
      </c>
      <c r="C16" s="2">
        <v>6</v>
      </c>
      <c r="D16" s="3">
        <v>3000</v>
      </c>
    </row>
    <row r="17" spans="1:6" x14ac:dyDescent="0.3">
      <c r="A17" s="2" t="s">
        <v>14</v>
      </c>
      <c r="B17" s="3">
        <v>1000</v>
      </c>
      <c r="C17" s="2">
        <v>6</v>
      </c>
      <c r="D17" s="3">
        <v>6000</v>
      </c>
      <c r="F17" s="15"/>
    </row>
    <row r="18" spans="1:6" x14ac:dyDescent="0.3">
      <c r="A18" s="2" t="s">
        <v>29</v>
      </c>
      <c r="B18" s="28">
        <f>SUM(D13:D17)</f>
        <v>36000</v>
      </c>
      <c r="C18" s="29"/>
      <c r="D18" s="30"/>
    </row>
    <row r="20" spans="1:6" x14ac:dyDescent="0.3">
      <c r="A20" s="23" t="s">
        <v>41</v>
      </c>
      <c r="B20" s="23"/>
    </row>
    <row r="21" spans="1:6" x14ac:dyDescent="0.3">
      <c r="A21" s="4" t="s">
        <v>8</v>
      </c>
      <c r="B21" s="4" t="s">
        <v>24</v>
      </c>
    </row>
    <row r="22" spans="1:6" x14ac:dyDescent="0.3">
      <c r="A22" s="9" t="s">
        <v>15</v>
      </c>
      <c r="B22" s="3">
        <v>3500</v>
      </c>
    </row>
    <row r="23" spans="1:6" x14ac:dyDescent="0.3">
      <c r="A23" s="9" t="s">
        <v>16</v>
      </c>
      <c r="B23" s="3">
        <v>3000</v>
      </c>
      <c r="F23" s="8"/>
    </row>
    <row r="24" spans="1:6" x14ac:dyDescent="0.3">
      <c r="A24" s="9" t="s">
        <v>17</v>
      </c>
      <c r="B24" s="3">
        <v>5000</v>
      </c>
    </row>
    <row r="25" spans="1:6" x14ac:dyDescent="0.3">
      <c r="A25" s="9" t="s">
        <v>18</v>
      </c>
      <c r="B25" s="3">
        <v>5000</v>
      </c>
    </row>
    <row r="26" spans="1:6" x14ac:dyDescent="0.3">
      <c r="A26" s="9" t="s">
        <v>29</v>
      </c>
      <c r="B26" s="11">
        <f>SUM(B22:B25)</f>
        <v>16500</v>
      </c>
    </row>
    <row r="28" spans="1:6" x14ac:dyDescent="0.3">
      <c r="A28" s="25" t="s">
        <v>42</v>
      </c>
      <c r="B28" s="26"/>
      <c r="C28" s="27"/>
    </row>
    <row r="29" spans="1:6" x14ac:dyDescent="0.3">
      <c r="A29" s="17" t="s">
        <v>30</v>
      </c>
      <c r="B29" s="18"/>
      <c r="C29" s="10">
        <v>379200</v>
      </c>
    </row>
    <row r="30" spans="1:6" x14ac:dyDescent="0.3">
      <c r="A30" s="17" t="s">
        <v>31</v>
      </c>
      <c r="B30" s="18"/>
      <c r="C30" s="10">
        <v>36000</v>
      </c>
    </row>
    <row r="31" spans="1:6" x14ac:dyDescent="0.3">
      <c r="A31" s="17" t="s">
        <v>32</v>
      </c>
      <c r="B31" s="18"/>
      <c r="C31" s="10">
        <v>16500</v>
      </c>
    </row>
    <row r="32" spans="1:6" x14ac:dyDescent="0.3">
      <c r="A32" s="17" t="s">
        <v>33</v>
      </c>
      <c r="B32" s="18"/>
      <c r="C32" s="10">
        <f>SUM(C29:C31)</f>
        <v>431700</v>
      </c>
    </row>
  </sheetData>
  <mergeCells count="11">
    <mergeCell ref="A29:B29"/>
    <mergeCell ref="A30:B30"/>
    <mergeCell ref="A31:B31"/>
    <mergeCell ref="A32:B32"/>
    <mergeCell ref="A1:F1"/>
    <mergeCell ref="A2:F2"/>
    <mergeCell ref="A20:B20"/>
    <mergeCell ref="A11:D11"/>
    <mergeCell ref="A28:C28"/>
    <mergeCell ref="B18:D18"/>
    <mergeCell ref="B9:F9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B270-1802-4457-8FAF-158E834D4990}">
  <dimension ref="A1:F36"/>
  <sheetViews>
    <sheetView showGridLines="0" topLeftCell="A21" workbookViewId="0">
      <selection activeCell="D10" sqref="D10"/>
    </sheetView>
  </sheetViews>
  <sheetFormatPr defaultRowHeight="14.4" x14ac:dyDescent="0.3"/>
  <cols>
    <col min="1" max="1" width="35.5546875" bestFit="1" customWidth="1"/>
    <col min="2" max="2" width="15.77734375" style="1" bestFit="1" customWidth="1"/>
    <col min="3" max="3" width="14.44140625" style="1" bestFit="1" customWidth="1"/>
    <col min="4" max="4" width="14.109375" style="1" customWidth="1"/>
  </cols>
  <sheetData>
    <row r="1" spans="1:4" x14ac:dyDescent="0.3">
      <c r="A1" s="31" t="s">
        <v>43</v>
      </c>
      <c r="B1" s="31"/>
      <c r="C1" s="31"/>
      <c r="D1" s="31"/>
    </row>
    <row r="2" spans="1:4" x14ac:dyDescent="0.3">
      <c r="A2" s="5" t="s">
        <v>25</v>
      </c>
      <c r="B2" s="2"/>
      <c r="C2" s="2"/>
      <c r="D2" s="2"/>
    </row>
    <row r="3" spans="1:4" x14ac:dyDescent="0.3">
      <c r="A3" s="5" t="s">
        <v>0</v>
      </c>
      <c r="B3" s="4" t="s">
        <v>2</v>
      </c>
      <c r="C3" s="4" t="s">
        <v>26</v>
      </c>
      <c r="D3" s="4" t="s">
        <v>46</v>
      </c>
    </row>
    <row r="4" spans="1:4" x14ac:dyDescent="0.3">
      <c r="A4" s="6" t="s">
        <v>5</v>
      </c>
      <c r="B4" s="2">
        <v>40</v>
      </c>
      <c r="C4" s="3">
        <v>2000</v>
      </c>
      <c r="D4" s="3">
        <v>12000</v>
      </c>
    </row>
    <row r="5" spans="1:4" x14ac:dyDescent="0.3">
      <c r="A5" s="6" t="s">
        <v>6</v>
      </c>
      <c r="B5" s="2">
        <v>40</v>
      </c>
      <c r="C5" s="3">
        <v>2000</v>
      </c>
      <c r="D5" s="3">
        <v>12000</v>
      </c>
    </row>
    <row r="6" spans="1:4" x14ac:dyDescent="0.3">
      <c r="A6" s="6" t="s">
        <v>7</v>
      </c>
      <c r="B6" s="2">
        <v>20</v>
      </c>
      <c r="C6" s="3">
        <v>1500</v>
      </c>
      <c r="D6" s="3">
        <v>9000</v>
      </c>
    </row>
    <row r="7" spans="1:4" x14ac:dyDescent="0.3">
      <c r="A7" s="6" t="s">
        <v>3</v>
      </c>
      <c r="B7" s="2">
        <v>20</v>
      </c>
      <c r="C7" s="3">
        <v>1500</v>
      </c>
      <c r="D7" s="3">
        <v>9000</v>
      </c>
    </row>
    <row r="8" spans="1:4" x14ac:dyDescent="0.3">
      <c r="A8" s="12" t="s">
        <v>34</v>
      </c>
      <c r="B8" s="28">
        <f>SUM(D4:D7)</f>
        <v>42000</v>
      </c>
      <c r="C8" s="29"/>
      <c r="D8" s="30"/>
    </row>
    <row r="10" spans="1:4" x14ac:dyDescent="0.3">
      <c r="A10" s="32" t="s">
        <v>45</v>
      </c>
      <c r="B10" s="32"/>
      <c r="C10" s="32"/>
    </row>
    <row r="11" spans="1:4" x14ac:dyDescent="0.3">
      <c r="A11" s="5" t="s">
        <v>8</v>
      </c>
      <c r="B11" s="4" t="s">
        <v>20</v>
      </c>
      <c r="C11" s="4" t="s">
        <v>46</v>
      </c>
    </row>
    <row r="12" spans="1:4" x14ac:dyDescent="0.3">
      <c r="A12" s="6" t="s">
        <v>13</v>
      </c>
      <c r="B12" s="3">
        <v>250</v>
      </c>
      <c r="C12" s="3">
        <v>1500</v>
      </c>
    </row>
    <row r="13" spans="1:4" x14ac:dyDescent="0.3">
      <c r="A13" s="6" t="s">
        <v>11</v>
      </c>
      <c r="B13" s="3">
        <v>500</v>
      </c>
      <c r="C13" s="3">
        <v>3000</v>
      </c>
    </row>
    <row r="14" spans="1:4" x14ac:dyDescent="0.3">
      <c r="A14" s="6" t="s">
        <v>14</v>
      </c>
      <c r="B14" s="3">
        <v>500</v>
      </c>
      <c r="C14" s="3">
        <v>3000</v>
      </c>
    </row>
    <row r="15" spans="1:4" x14ac:dyDescent="0.3">
      <c r="A15" s="12" t="s">
        <v>34</v>
      </c>
      <c r="B15" s="28">
        <f>SUM(C12:C14)</f>
        <v>7500</v>
      </c>
      <c r="C15" s="30"/>
    </row>
    <row r="17" spans="1:6" x14ac:dyDescent="0.3">
      <c r="A17" s="33" t="s">
        <v>44</v>
      </c>
      <c r="B17" s="33"/>
      <c r="C17" s="33"/>
    </row>
    <row r="18" spans="1:6" x14ac:dyDescent="0.3">
      <c r="A18" s="5" t="s">
        <v>8</v>
      </c>
      <c r="B18" s="4" t="s">
        <v>20</v>
      </c>
      <c r="C18" s="4" t="s">
        <v>46</v>
      </c>
    </row>
    <row r="19" spans="1:6" x14ac:dyDescent="0.3">
      <c r="A19" s="6" t="s">
        <v>15</v>
      </c>
      <c r="B19" s="3">
        <v>500</v>
      </c>
      <c r="C19" s="3">
        <v>3000</v>
      </c>
    </row>
    <row r="20" spans="1:6" x14ac:dyDescent="0.3">
      <c r="A20" s="6" t="s">
        <v>18</v>
      </c>
      <c r="B20" s="3">
        <v>500</v>
      </c>
      <c r="C20" s="3">
        <v>3000</v>
      </c>
    </row>
    <row r="21" spans="1:6" x14ac:dyDescent="0.3">
      <c r="A21" s="6" t="s">
        <v>27</v>
      </c>
      <c r="B21" s="3">
        <v>500</v>
      </c>
      <c r="C21" s="3">
        <v>3000</v>
      </c>
    </row>
    <row r="22" spans="1:6" x14ac:dyDescent="0.3">
      <c r="A22" s="12" t="s">
        <v>34</v>
      </c>
      <c r="B22" s="28">
        <f>SUM(C19:C21)</f>
        <v>9000</v>
      </c>
      <c r="C22" s="30"/>
    </row>
    <row r="24" spans="1:6" x14ac:dyDescent="0.3">
      <c r="A24" s="34" t="s">
        <v>35</v>
      </c>
      <c r="B24" s="35"/>
      <c r="C24" s="13"/>
    </row>
    <row r="25" spans="1:6" x14ac:dyDescent="0.3">
      <c r="A25" s="6" t="s">
        <v>36</v>
      </c>
      <c r="B25" s="11">
        <f>SUM(D4:D7)</f>
        <v>42000</v>
      </c>
      <c r="E25" s="14"/>
    </row>
    <row r="26" spans="1:6" x14ac:dyDescent="0.3">
      <c r="A26" s="6" t="s">
        <v>37</v>
      </c>
      <c r="B26" s="11">
        <f>SUM(C12:C14)</f>
        <v>7500</v>
      </c>
      <c r="E26" s="16"/>
      <c r="F26" s="16"/>
    </row>
    <row r="27" spans="1:6" x14ac:dyDescent="0.3">
      <c r="A27" s="6" t="s">
        <v>38</v>
      </c>
      <c r="B27" s="11">
        <f>SUM(C19:C21)</f>
        <v>9000</v>
      </c>
      <c r="E27" s="16"/>
      <c r="F27" s="16"/>
    </row>
    <row r="28" spans="1:6" x14ac:dyDescent="0.3">
      <c r="A28" s="6" t="s">
        <v>35</v>
      </c>
      <c r="B28" s="11">
        <f>SUM(B25:B27)</f>
        <v>58500</v>
      </c>
      <c r="E28" s="16"/>
      <c r="F28" s="16"/>
    </row>
    <row r="29" spans="1:6" x14ac:dyDescent="0.3">
      <c r="E29" s="16"/>
      <c r="F29" s="16"/>
    </row>
    <row r="30" spans="1:6" x14ac:dyDescent="0.3">
      <c r="E30" s="16"/>
      <c r="F30" s="16"/>
    </row>
    <row r="31" spans="1:6" x14ac:dyDescent="0.3">
      <c r="E31" s="16"/>
      <c r="F31" s="16"/>
    </row>
    <row r="32" spans="1:6" x14ac:dyDescent="0.3">
      <c r="E32" s="16"/>
      <c r="F32" s="16"/>
    </row>
    <row r="33" spans="5:6" x14ac:dyDescent="0.3">
      <c r="E33" s="16"/>
      <c r="F33" s="16"/>
    </row>
    <row r="34" spans="5:6" x14ac:dyDescent="0.3">
      <c r="E34" s="16"/>
      <c r="F34" s="16"/>
    </row>
    <row r="35" spans="5:6" x14ac:dyDescent="0.3">
      <c r="E35" s="16"/>
      <c r="F35" s="16"/>
    </row>
    <row r="36" spans="5:6" x14ac:dyDescent="0.3">
      <c r="E36" s="16"/>
      <c r="F36" s="16"/>
    </row>
  </sheetData>
  <mergeCells count="7">
    <mergeCell ref="A1:D1"/>
    <mergeCell ref="A10:C10"/>
    <mergeCell ref="A17:C17"/>
    <mergeCell ref="A24:B24"/>
    <mergeCell ref="B15:C15"/>
    <mergeCell ref="B22:C22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Projeto Completo</vt:lpstr>
      <vt:lpstr>Custos de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DTG-2025</cp:lastModifiedBy>
  <dcterms:created xsi:type="dcterms:W3CDTF">2026-01-29T13:04:56Z</dcterms:created>
  <dcterms:modified xsi:type="dcterms:W3CDTF">2026-02-13T10:34:23Z</dcterms:modified>
</cp:coreProperties>
</file>